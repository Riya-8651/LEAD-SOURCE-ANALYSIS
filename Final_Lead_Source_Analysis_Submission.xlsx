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15a88a166abe12c/Desktop/"/>
    </mc:Choice>
  </mc:AlternateContent>
  <xr:revisionPtr revIDLastSave="0" documentId="14_{507CA796-A445-4D91-BD00-F4F54F3CAA09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erformance Data" sheetId="6" r:id="rId1"/>
    <sheet name="Lead_Data" sheetId="1" r:id="rId2"/>
    <sheet name="KPI_Calculation" sheetId="2" r:id="rId3"/>
    <sheet name="Lead_Source_Map" sheetId="3" r:id="rId4"/>
    <sheet name="Prioritization_Matrix" sheetId="4" r:id="rId5"/>
    <sheet name="Action_Pla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6" l="1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A8" i="4"/>
  <c r="B7" i="4"/>
  <c r="A7" i="4"/>
  <c r="A6" i="4"/>
  <c r="A5" i="4"/>
  <c r="C4" i="4"/>
  <c r="A4" i="4"/>
  <c r="C3" i="4"/>
  <c r="B3" i="4"/>
  <c r="A3" i="4"/>
  <c r="A2" i="4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D8" i="2"/>
  <c r="C8" i="2"/>
  <c r="C8" i="4" s="1"/>
  <c r="B8" i="2"/>
  <c r="B8" i="4" s="1"/>
  <c r="A8" i="2"/>
  <c r="D7" i="2"/>
  <c r="C7" i="2"/>
  <c r="D7" i="3" s="1"/>
  <c r="B7" i="2"/>
  <c r="C7" i="3" s="1"/>
  <c r="A7" i="2"/>
  <c r="D6" i="2"/>
  <c r="C6" i="2"/>
  <c r="D6" i="3" s="1"/>
  <c r="B6" i="2"/>
  <c r="C6" i="3" s="1"/>
  <c r="A6" i="2"/>
  <c r="D5" i="2"/>
  <c r="C5" i="2"/>
  <c r="C5" i="4" s="1"/>
  <c r="B5" i="2"/>
  <c r="B5" i="4" s="1"/>
  <c r="A5" i="2"/>
  <c r="D4" i="2"/>
  <c r="C4" i="2"/>
  <c r="D4" i="3" s="1"/>
  <c r="B4" i="2"/>
  <c r="B4" i="4" s="1"/>
  <c r="A4" i="2"/>
  <c r="D3" i="2"/>
  <c r="C3" i="2"/>
  <c r="D3" i="3" s="1"/>
  <c r="B3" i="2"/>
  <c r="C3" i="3" s="1"/>
  <c r="A3" i="2"/>
  <c r="D2" i="2"/>
  <c r="C2" i="2"/>
  <c r="D2" i="3" s="1"/>
  <c r="B2" i="2"/>
  <c r="C2" i="3" s="1"/>
  <c r="A2" i="2"/>
  <c r="C7" i="4" l="1"/>
  <c r="C6" i="4"/>
  <c r="B2" i="4"/>
  <c r="B6" i="4"/>
  <c r="C4" i="3"/>
  <c r="C5" i="3"/>
  <c r="C8" i="3"/>
  <c r="C2" i="4"/>
  <c r="D5" i="3"/>
  <c r="D8" i="3"/>
</calcChain>
</file>

<file path=xl/sharedStrings.xml><?xml version="1.0" encoding="utf-8"?>
<sst xmlns="http://schemas.openxmlformats.org/spreadsheetml/2006/main" count="108" uniqueCount="44">
  <si>
    <t>Lead Source</t>
  </si>
  <si>
    <t>Total Leads</t>
  </si>
  <si>
    <t>Total Conversions</t>
  </si>
  <si>
    <t>Total Cost (₹)</t>
  </si>
  <si>
    <t>Website</t>
  </si>
  <si>
    <t>Google Ads</t>
  </si>
  <si>
    <t>LinkedIn Ads</t>
  </si>
  <si>
    <t>Email Marketing</t>
  </si>
  <si>
    <t>Events</t>
  </si>
  <si>
    <t>Referrals</t>
  </si>
  <si>
    <t>Cold Calling</t>
  </si>
  <si>
    <t>Conversion Rate (%)</t>
  </si>
  <si>
    <t>Cost per Lead (₹)</t>
  </si>
  <si>
    <t>Cost per Conversion (₹)</t>
  </si>
  <si>
    <t>ROI Category</t>
  </si>
  <si>
    <t>Lead Volume</t>
  </si>
  <si>
    <t>Conversion Performance</t>
  </si>
  <si>
    <t>Cost Efficiency</t>
  </si>
  <si>
    <t>Overall Rating</t>
  </si>
  <si>
    <t>Conversion Rate</t>
  </si>
  <si>
    <t>Cost per Lead</t>
  </si>
  <si>
    <t>Priority Level</t>
  </si>
  <si>
    <t>Issue Identified</t>
  </si>
  <si>
    <t>Recommended Action</t>
  </si>
  <si>
    <t>Expected Outcome</t>
  </si>
  <si>
    <t>High CPL &amp; low conversion</t>
  </si>
  <si>
    <t>Keyword optimization &amp; ad refinement</t>
  </si>
  <si>
    <t>Lower CPL</t>
  </si>
  <si>
    <t>High cost</t>
  </si>
  <si>
    <t>Participate selectively</t>
  </si>
  <si>
    <t>Cost reduction</t>
  </si>
  <si>
    <t>Underutilized channel</t>
  </si>
  <si>
    <t>Introduce referral incentives</t>
  </si>
  <si>
    <t>Higher quality leads</t>
  </si>
  <si>
    <t>Scope for scaling</t>
  </si>
  <si>
    <t>Increase automation &amp; segmentation</t>
  </si>
  <si>
    <t>Improved ROI</t>
  </si>
  <si>
    <t>Qualified Leads</t>
  </si>
  <si>
    <t>Conversions</t>
  </si>
  <si>
    <t>Conversion %</t>
  </si>
  <si>
    <t>LinkedIn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</si>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</sst>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4E48-6809-4761-8F4C-2F24322B08B5}">
  <dimension ref="A1:F51"/>
  <sheetViews>
    <sheetView topLeftCell="A8" workbookViewId="0">
      <selection activeCell="I7" sqref="I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3</v>
      </c>
    </row>
    <row r="2" spans="1:6" x14ac:dyDescent="0.3">
      <c r="A2" t="s">
        <v>8</v>
      </c>
      <c r="B2">
        <v>195</v>
      </c>
      <c r="C2">
        <v>170</v>
      </c>
      <c r="D2">
        <v>86</v>
      </c>
      <c r="E2" t="e">
        <f t="shared" ref="E2:E51" si="0">D1/B1</f>
        <v>#VALUE!</v>
      </c>
      <c r="F2">
        <v>46937</v>
      </c>
    </row>
    <row r="3" spans="1:6" x14ac:dyDescent="0.3">
      <c r="A3" t="s">
        <v>40</v>
      </c>
      <c r="B3">
        <v>178</v>
      </c>
      <c r="C3">
        <v>62</v>
      </c>
      <c r="D3">
        <v>31</v>
      </c>
      <c r="E3">
        <f t="shared" si="0"/>
        <v>0.44102564102564101</v>
      </c>
      <c r="F3">
        <v>35510</v>
      </c>
    </row>
    <row r="4" spans="1:6" x14ac:dyDescent="0.3">
      <c r="A4" t="s">
        <v>4</v>
      </c>
      <c r="B4">
        <v>192</v>
      </c>
      <c r="C4">
        <v>188</v>
      </c>
      <c r="D4">
        <v>161</v>
      </c>
      <c r="E4">
        <f t="shared" si="0"/>
        <v>0.17415730337078653</v>
      </c>
      <c r="F4">
        <v>68737</v>
      </c>
    </row>
    <row r="5" spans="1:6" x14ac:dyDescent="0.3">
      <c r="A5" t="s">
        <v>10</v>
      </c>
      <c r="B5">
        <v>102</v>
      </c>
      <c r="C5">
        <v>20</v>
      </c>
      <c r="D5">
        <v>6</v>
      </c>
      <c r="E5">
        <f t="shared" si="0"/>
        <v>0.83854166666666663</v>
      </c>
      <c r="F5">
        <v>77090</v>
      </c>
    </row>
    <row r="6" spans="1:6" x14ac:dyDescent="0.3">
      <c r="A6" t="s">
        <v>9</v>
      </c>
      <c r="B6">
        <v>170</v>
      </c>
      <c r="C6">
        <v>103</v>
      </c>
      <c r="D6">
        <v>7</v>
      </c>
      <c r="E6">
        <f t="shared" si="0"/>
        <v>5.8823529411764705E-2</v>
      </c>
      <c r="F6">
        <v>15244</v>
      </c>
    </row>
    <row r="7" spans="1:6" x14ac:dyDescent="0.3">
      <c r="A7" t="s">
        <v>10</v>
      </c>
      <c r="B7">
        <v>285</v>
      </c>
      <c r="C7">
        <v>243</v>
      </c>
      <c r="D7">
        <v>138</v>
      </c>
      <c r="E7">
        <f t="shared" si="0"/>
        <v>4.1176470588235294E-2</v>
      </c>
      <c r="F7">
        <v>56768</v>
      </c>
    </row>
    <row r="8" spans="1:6" x14ac:dyDescent="0.3">
      <c r="A8" t="s">
        <v>5</v>
      </c>
      <c r="B8">
        <v>21</v>
      </c>
      <c r="C8">
        <v>18</v>
      </c>
      <c r="D8">
        <v>8</v>
      </c>
      <c r="E8">
        <f t="shared" si="0"/>
        <v>0.48421052631578948</v>
      </c>
      <c r="F8">
        <v>70010</v>
      </c>
    </row>
    <row r="9" spans="1:6" x14ac:dyDescent="0.3">
      <c r="A9" t="s">
        <v>4</v>
      </c>
      <c r="B9">
        <v>71</v>
      </c>
      <c r="C9">
        <v>50</v>
      </c>
      <c r="D9">
        <v>36</v>
      </c>
      <c r="E9">
        <f t="shared" si="0"/>
        <v>0.38095238095238093</v>
      </c>
      <c r="F9">
        <v>86876</v>
      </c>
    </row>
    <row r="10" spans="1:6" x14ac:dyDescent="0.3">
      <c r="A10" t="s">
        <v>40</v>
      </c>
      <c r="B10">
        <v>199</v>
      </c>
      <c r="C10">
        <v>143</v>
      </c>
      <c r="D10">
        <v>70</v>
      </c>
      <c r="E10">
        <f t="shared" si="0"/>
        <v>0.50704225352112675</v>
      </c>
      <c r="F10">
        <v>13305</v>
      </c>
    </row>
    <row r="11" spans="1:6" x14ac:dyDescent="0.3">
      <c r="A11" t="s">
        <v>7</v>
      </c>
      <c r="B11">
        <v>112</v>
      </c>
      <c r="C11">
        <v>109</v>
      </c>
      <c r="D11">
        <v>12</v>
      </c>
      <c r="E11">
        <f t="shared" si="0"/>
        <v>0.35175879396984927</v>
      </c>
      <c r="F11">
        <v>49158</v>
      </c>
    </row>
    <row r="12" spans="1:6" x14ac:dyDescent="0.3">
      <c r="A12" t="s">
        <v>5</v>
      </c>
      <c r="B12">
        <v>250</v>
      </c>
      <c r="C12">
        <v>157</v>
      </c>
      <c r="D12">
        <v>21</v>
      </c>
      <c r="E12">
        <f t="shared" si="0"/>
        <v>0.10714285714285714</v>
      </c>
      <c r="F12">
        <v>90000</v>
      </c>
    </row>
    <row r="13" spans="1:6" x14ac:dyDescent="0.3">
      <c r="A13" t="s">
        <v>9</v>
      </c>
      <c r="B13">
        <v>78</v>
      </c>
      <c r="C13">
        <v>39</v>
      </c>
      <c r="D13">
        <v>10</v>
      </c>
      <c r="E13">
        <f t="shared" si="0"/>
        <v>8.4000000000000005E-2</v>
      </c>
      <c r="F13">
        <v>35251</v>
      </c>
    </row>
    <row r="14" spans="1:6" x14ac:dyDescent="0.3">
      <c r="A14" t="s">
        <v>5</v>
      </c>
      <c r="B14">
        <v>108</v>
      </c>
      <c r="C14">
        <v>24</v>
      </c>
      <c r="D14">
        <v>17</v>
      </c>
      <c r="E14">
        <f t="shared" si="0"/>
        <v>0.12820512820512819</v>
      </c>
      <c r="F14">
        <v>65908</v>
      </c>
    </row>
    <row r="15" spans="1:6" x14ac:dyDescent="0.3">
      <c r="A15" t="s">
        <v>4</v>
      </c>
      <c r="B15">
        <v>75</v>
      </c>
      <c r="C15">
        <v>12</v>
      </c>
      <c r="D15">
        <v>8</v>
      </c>
      <c r="E15">
        <f t="shared" si="0"/>
        <v>0.15740740740740741</v>
      </c>
      <c r="F15">
        <v>16683</v>
      </c>
    </row>
    <row r="16" spans="1:6" x14ac:dyDescent="0.3">
      <c r="A16" t="s">
        <v>5</v>
      </c>
      <c r="B16">
        <v>29</v>
      </c>
      <c r="C16">
        <v>19</v>
      </c>
      <c r="D16">
        <v>19</v>
      </c>
      <c r="E16">
        <f t="shared" si="0"/>
        <v>0.10666666666666667</v>
      </c>
      <c r="F16">
        <v>80180</v>
      </c>
    </row>
    <row r="17" spans="1:6" x14ac:dyDescent="0.3">
      <c r="A17" t="s">
        <v>5</v>
      </c>
      <c r="B17">
        <v>153</v>
      </c>
      <c r="C17">
        <v>136</v>
      </c>
      <c r="D17">
        <v>38</v>
      </c>
      <c r="E17">
        <f t="shared" si="0"/>
        <v>0.65517241379310343</v>
      </c>
      <c r="F17">
        <v>59964</v>
      </c>
    </row>
    <row r="18" spans="1:6" x14ac:dyDescent="0.3">
      <c r="A18" t="s">
        <v>5</v>
      </c>
      <c r="B18">
        <v>277</v>
      </c>
      <c r="C18">
        <v>175</v>
      </c>
      <c r="D18">
        <v>54</v>
      </c>
      <c r="E18">
        <f t="shared" si="0"/>
        <v>0.24836601307189543</v>
      </c>
      <c r="F18">
        <v>21734</v>
      </c>
    </row>
    <row r="19" spans="1:6" x14ac:dyDescent="0.3">
      <c r="A19" t="s">
        <v>4</v>
      </c>
      <c r="B19">
        <v>126</v>
      </c>
      <c r="C19">
        <v>49</v>
      </c>
      <c r="D19">
        <v>29</v>
      </c>
      <c r="E19">
        <f t="shared" si="0"/>
        <v>0.19494584837545126</v>
      </c>
      <c r="F19">
        <v>7278</v>
      </c>
    </row>
    <row r="20" spans="1:6" x14ac:dyDescent="0.3">
      <c r="A20" t="s">
        <v>7</v>
      </c>
      <c r="B20">
        <v>221</v>
      </c>
      <c r="C20">
        <v>146</v>
      </c>
      <c r="D20">
        <v>129</v>
      </c>
      <c r="E20">
        <f t="shared" si="0"/>
        <v>0.23015873015873015</v>
      </c>
      <c r="F20">
        <v>32514</v>
      </c>
    </row>
    <row r="21" spans="1:6" x14ac:dyDescent="0.3">
      <c r="A21" t="s">
        <v>7</v>
      </c>
      <c r="B21">
        <v>170</v>
      </c>
      <c r="C21">
        <v>106</v>
      </c>
      <c r="D21">
        <v>45</v>
      </c>
      <c r="E21">
        <f t="shared" si="0"/>
        <v>0.58371040723981904</v>
      </c>
      <c r="F21">
        <v>18985</v>
      </c>
    </row>
    <row r="22" spans="1:6" x14ac:dyDescent="0.3">
      <c r="A22" t="s">
        <v>10</v>
      </c>
      <c r="B22">
        <v>277</v>
      </c>
      <c r="C22">
        <v>76</v>
      </c>
      <c r="D22">
        <v>17</v>
      </c>
      <c r="E22">
        <f t="shared" si="0"/>
        <v>0.26470588235294118</v>
      </c>
      <c r="F22">
        <v>20440</v>
      </c>
    </row>
    <row r="23" spans="1:6" x14ac:dyDescent="0.3">
      <c r="A23" t="s">
        <v>8</v>
      </c>
      <c r="B23">
        <v>68</v>
      </c>
      <c r="C23">
        <v>13</v>
      </c>
      <c r="D23">
        <v>6</v>
      </c>
      <c r="E23">
        <f t="shared" si="0"/>
        <v>6.1371841155234655E-2</v>
      </c>
      <c r="F23">
        <v>39415</v>
      </c>
    </row>
    <row r="24" spans="1:6" x14ac:dyDescent="0.3">
      <c r="A24" t="s">
        <v>10</v>
      </c>
      <c r="B24">
        <v>289</v>
      </c>
      <c r="C24">
        <v>288</v>
      </c>
      <c r="D24">
        <v>236</v>
      </c>
      <c r="E24">
        <f t="shared" si="0"/>
        <v>8.8235294117647065E-2</v>
      </c>
      <c r="F24">
        <v>66500</v>
      </c>
    </row>
    <row r="25" spans="1:6" x14ac:dyDescent="0.3">
      <c r="A25" t="s">
        <v>4</v>
      </c>
      <c r="B25">
        <v>236</v>
      </c>
      <c r="C25">
        <v>216</v>
      </c>
      <c r="D25">
        <v>164</v>
      </c>
      <c r="E25">
        <f t="shared" si="0"/>
        <v>0.81660899653979235</v>
      </c>
      <c r="F25">
        <v>40347</v>
      </c>
    </row>
    <row r="26" spans="1:6" x14ac:dyDescent="0.3">
      <c r="A26" t="s">
        <v>10</v>
      </c>
      <c r="B26">
        <v>144</v>
      </c>
      <c r="C26">
        <v>46</v>
      </c>
      <c r="D26">
        <v>35</v>
      </c>
      <c r="E26">
        <f t="shared" si="0"/>
        <v>0.69491525423728817</v>
      </c>
      <c r="F26">
        <v>82669</v>
      </c>
    </row>
    <row r="27" spans="1:6" x14ac:dyDescent="0.3">
      <c r="A27" t="s">
        <v>8</v>
      </c>
      <c r="B27">
        <v>75</v>
      </c>
      <c r="C27">
        <v>69</v>
      </c>
      <c r="D27">
        <v>42</v>
      </c>
      <c r="E27">
        <f t="shared" si="0"/>
        <v>0.24305555555555555</v>
      </c>
      <c r="F27">
        <v>23474</v>
      </c>
    </row>
    <row r="28" spans="1:6" x14ac:dyDescent="0.3">
      <c r="A28" t="s">
        <v>9</v>
      </c>
      <c r="B28">
        <v>113</v>
      </c>
      <c r="C28">
        <v>87</v>
      </c>
      <c r="D28">
        <v>44</v>
      </c>
      <c r="E28">
        <f t="shared" si="0"/>
        <v>0.56000000000000005</v>
      </c>
      <c r="F28">
        <v>24718</v>
      </c>
    </row>
    <row r="29" spans="1:6" x14ac:dyDescent="0.3">
      <c r="A29" t="s">
        <v>7</v>
      </c>
      <c r="B29">
        <v>215</v>
      </c>
      <c r="C29">
        <v>210</v>
      </c>
      <c r="D29">
        <v>16</v>
      </c>
      <c r="E29">
        <f t="shared" si="0"/>
        <v>0.38938053097345132</v>
      </c>
      <c r="F29">
        <v>85952</v>
      </c>
    </row>
    <row r="30" spans="1:6" x14ac:dyDescent="0.3">
      <c r="A30" t="s">
        <v>4</v>
      </c>
      <c r="B30">
        <v>58</v>
      </c>
      <c r="C30">
        <v>20</v>
      </c>
      <c r="D30">
        <v>12</v>
      </c>
      <c r="E30">
        <f t="shared" si="0"/>
        <v>7.441860465116279E-2</v>
      </c>
      <c r="F30">
        <v>78823</v>
      </c>
    </row>
    <row r="31" spans="1:6" x14ac:dyDescent="0.3">
      <c r="A31" t="s">
        <v>5</v>
      </c>
      <c r="B31">
        <v>109</v>
      </c>
      <c r="C31">
        <v>100</v>
      </c>
      <c r="D31">
        <v>81</v>
      </c>
      <c r="E31">
        <f t="shared" si="0"/>
        <v>0.20689655172413793</v>
      </c>
      <c r="F31">
        <v>27503</v>
      </c>
    </row>
    <row r="32" spans="1:6" x14ac:dyDescent="0.3">
      <c r="A32" t="s">
        <v>5</v>
      </c>
      <c r="B32">
        <v>269</v>
      </c>
      <c r="C32">
        <v>183</v>
      </c>
      <c r="D32">
        <v>64</v>
      </c>
      <c r="E32">
        <f t="shared" si="0"/>
        <v>0.74311926605504586</v>
      </c>
      <c r="F32">
        <v>64120</v>
      </c>
    </row>
    <row r="33" spans="1:6" x14ac:dyDescent="0.3">
      <c r="A33" t="s">
        <v>10</v>
      </c>
      <c r="B33">
        <v>214</v>
      </c>
      <c r="C33">
        <v>126</v>
      </c>
      <c r="D33">
        <v>111</v>
      </c>
      <c r="E33">
        <f t="shared" si="0"/>
        <v>0.23791821561338289</v>
      </c>
      <c r="F33">
        <v>75984</v>
      </c>
    </row>
    <row r="34" spans="1:6" x14ac:dyDescent="0.3">
      <c r="A34" t="s">
        <v>4</v>
      </c>
      <c r="B34">
        <v>171</v>
      </c>
      <c r="C34">
        <v>138</v>
      </c>
      <c r="D34">
        <v>77</v>
      </c>
      <c r="E34">
        <f t="shared" si="0"/>
        <v>0.51869158878504673</v>
      </c>
      <c r="F34">
        <v>9226</v>
      </c>
    </row>
    <row r="35" spans="1:6" x14ac:dyDescent="0.3">
      <c r="A35" t="s">
        <v>4</v>
      </c>
      <c r="B35">
        <v>78</v>
      </c>
      <c r="C35">
        <v>23</v>
      </c>
      <c r="D35">
        <v>14</v>
      </c>
      <c r="E35">
        <f t="shared" si="0"/>
        <v>0.45029239766081869</v>
      </c>
      <c r="F35">
        <v>46314</v>
      </c>
    </row>
    <row r="36" spans="1:6" x14ac:dyDescent="0.3">
      <c r="A36" t="s">
        <v>7</v>
      </c>
      <c r="B36">
        <v>224</v>
      </c>
      <c r="C36">
        <v>143</v>
      </c>
      <c r="D36">
        <v>87</v>
      </c>
      <c r="E36">
        <f t="shared" si="0"/>
        <v>0.17948717948717949</v>
      </c>
      <c r="F36">
        <v>24617</v>
      </c>
    </row>
    <row r="37" spans="1:6" x14ac:dyDescent="0.3">
      <c r="A37" t="s">
        <v>4</v>
      </c>
      <c r="B37">
        <v>285</v>
      </c>
      <c r="C37">
        <v>39</v>
      </c>
      <c r="D37">
        <v>17</v>
      </c>
      <c r="E37">
        <f t="shared" si="0"/>
        <v>0.38839285714285715</v>
      </c>
      <c r="F37">
        <v>16156</v>
      </c>
    </row>
    <row r="38" spans="1:6" x14ac:dyDescent="0.3">
      <c r="A38" t="s">
        <v>4</v>
      </c>
      <c r="B38">
        <v>225</v>
      </c>
      <c r="C38">
        <v>87</v>
      </c>
      <c r="D38">
        <v>45</v>
      </c>
      <c r="E38">
        <f t="shared" si="0"/>
        <v>5.9649122807017542E-2</v>
      </c>
      <c r="F38">
        <v>63068</v>
      </c>
    </row>
    <row r="39" spans="1:6" x14ac:dyDescent="0.3">
      <c r="A39" t="s">
        <v>5</v>
      </c>
      <c r="B39">
        <v>99</v>
      </c>
      <c r="C39">
        <v>32</v>
      </c>
      <c r="D39">
        <v>23</v>
      </c>
      <c r="E39">
        <f t="shared" si="0"/>
        <v>0.2</v>
      </c>
      <c r="F39">
        <v>63348</v>
      </c>
    </row>
    <row r="40" spans="1:6" x14ac:dyDescent="0.3">
      <c r="A40" t="s">
        <v>8</v>
      </c>
      <c r="B40">
        <v>218</v>
      </c>
      <c r="C40">
        <v>212</v>
      </c>
      <c r="D40">
        <v>139</v>
      </c>
      <c r="E40">
        <f t="shared" si="0"/>
        <v>0.23232323232323232</v>
      </c>
      <c r="F40">
        <v>40047</v>
      </c>
    </row>
    <row r="41" spans="1:6" x14ac:dyDescent="0.3">
      <c r="A41" t="s">
        <v>40</v>
      </c>
      <c r="B41">
        <v>286</v>
      </c>
      <c r="C41">
        <v>153</v>
      </c>
      <c r="D41">
        <v>110</v>
      </c>
      <c r="E41">
        <f t="shared" si="0"/>
        <v>0.63761467889908252</v>
      </c>
      <c r="F41">
        <v>8793</v>
      </c>
    </row>
    <row r="42" spans="1:6" x14ac:dyDescent="0.3">
      <c r="A42" t="s">
        <v>8</v>
      </c>
      <c r="B42">
        <v>202</v>
      </c>
      <c r="C42">
        <v>16</v>
      </c>
      <c r="D42">
        <v>5</v>
      </c>
      <c r="E42">
        <f t="shared" si="0"/>
        <v>0.38461538461538464</v>
      </c>
      <c r="F42">
        <v>85939</v>
      </c>
    </row>
    <row r="43" spans="1:6" x14ac:dyDescent="0.3">
      <c r="A43" t="s">
        <v>8</v>
      </c>
      <c r="B43">
        <v>144</v>
      </c>
      <c r="C43">
        <v>32</v>
      </c>
      <c r="D43">
        <v>6</v>
      </c>
      <c r="E43">
        <f t="shared" si="0"/>
        <v>2.4752475247524754E-2</v>
      </c>
      <c r="F43">
        <v>8873</v>
      </c>
    </row>
    <row r="44" spans="1:6" x14ac:dyDescent="0.3">
      <c r="A44" t="s">
        <v>4</v>
      </c>
      <c r="B44">
        <v>299</v>
      </c>
      <c r="C44">
        <v>92</v>
      </c>
      <c r="D44">
        <v>46</v>
      </c>
      <c r="E44">
        <f t="shared" si="0"/>
        <v>4.1666666666666664E-2</v>
      </c>
      <c r="F44">
        <v>46129</v>
      </c>
    </row>
    <row r="45" spans="1:6" x14ac:dyDescent="0.3">
      <c r="A45" t="s">
        <v>40</v>
      </c>
      <c r="B45">
        <v>102</v>
      </c>
      <c r="C45">
        <v>99</v>
      </c>
      <c r="D45">
        <v>47</v>
      </c>
      <c r="E45">
        <f t="shared" si="0"/>
        <v>0.15384615384615385</v>
      </c>
      <c r="F45">
        <v>26923</v>
      </c>
    </row>
    <row r="46" spans="1:6" x14ac:dyDescent="0.3">
      <c r="A46" t="s">
        <v>4</v>
      </c>
      <c r="B46">
        <v>293</v>
      </c>
      <c r="C46">
        <v>42</v>
      </c>
      <c r="D46">
        <v>39</v>
      </c>
      <c r="E46">
        <f t="shared" si="0"/>
        <v>0.46078431372549017</v>
      </c>
      <c r="F46">
        <v>49720</v>
      </c>
    </row>
    <row r="47" spans="1:6" x14ac:dyDescent="0.3">
      <c r="A47" t="s">
        <v>40</v>
      </c>
      <c r="B47">
        <v>66</v>
      </c>
      <c r="C47">
        <v>47</v>
      </c>
      <c r="D47">
        <v>14</v>
      </c>
      <c r="E47">
        <f t="shared" si="0"/>
        <v>0.13310580204778158</v>
      </c>
      <c r="F47">
        <v>49400</v>
      </c>
    </row>
    <row r="48" spans="1:6" x14ac:dyDescent="0.3">
      <c r="A48" t="s">
        <v>5</v>
      </c>
      <c r="B48">
        <v>284</v>
      </c>
      <c r="C48">
        <v>83</v>
      </c>
      <c r="D48">
        <v>10</v>
      </c>
      <c r="E48">
        <f t="shared" si="0"/>
        <v>0.21212121212121213</v>
      </c>
      <c r="F48">
        <v>43508</v>
      </c>
    </row>
    <row r="49" spans="1:6" x14ac:dyDescent="0.3">
      <c r="A49" t="s">
        <v>9</v>
      </c>
      <c r="B49">
        <v>187</v>
      </c>
      <c r="C49">
        <v>91</v>
      </c>
      <c r="D49">
        <v>53</v>
      </c>
      <c r="E49">
        <f t="shared" si="0"/>
        <v>3.5211267605633804E-2</v>
      </c>
      <c r="F49">
        <v>37401</v>
      </c>
    </row>
    <row r="50" spans="1:6" x14ac:dyDescent="0.3">
      <c r="A50" t="s">
        <v>7</v>
      </c>
      <c r="B50">
        <v>241</v>
      </c>
      <c r="C50">
        <v>16</v>
      </c>
      <c r="D50">
        <v>7</v>
      </c>
      <c r="E50">
        <f t="shared" si="0"/>
        <v>0.28342245989304815</v>
      </c>
      <c r="F50">
        <v>15464</v>
      </c>
    </row>
    <row r="51" spans="1:6" x14ac:dyDescent="0.3">
      <c r="A51" t="s">
        <v>5</v>
      </c>
      <c r="B51">
        <v>140</v>
      </c>
      <c r="C51">
        <v>56</v>
      </c>
      <c r="D51">
        <v>19</v>
      </c>
      <c r="E51">
        <f t="shared" si="0"/>
        <v>2.9045643153526972E-2</v>
      </c>
      <c r="F51">
        <v>52717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4" x14ac:dyDescent="0.3"/>
  <cols>
    <col min="1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1121</v>
      </c>
      <c r="C2">
        <v>391</v>
      </c>
      <c r="D2">
        <v>45000</v>
      </c>
    </row>
    <row r="3" spans="1:4" x14ac:dyDescent="0.3">
      <c r="A3" t="s">
        <v>5</v>
      </c>
      <c r="B3">
        <v>964</v>
      </c>
      <c r="C3">
        <v>121</v>
      </c>
      <c r="D3">
        <v>120000</v>
      </c>
    </row>
    <row r="4" spans="1:4" x14ac:dyDescent="0.3">
      <c r="A4" t="s">
        <v>6</v>
      </c>
      <c r="B4">
        <v>1365</v>
      </c>
      <c r="C4">
        <v>440</v>
      </c>
      <c r="D4">
        <v>80000</v>
      </c>
    </row>
    <row r="5" spans="1:4" x14ac:dyDescent="0.3">
      <c r="A5" t="s">
        <v>7</v>
      </c>
      <c r="B5">
        <v>1527</v>
      </c>
      <c r="C5">
        <v>570</v>
      </c>
      <c r="D5">
        <v>30000</v>
      </c>
    </row>
    <row r="6" spans="1:4" x14ac:dyDescent="0.3">
      <c r="A6" t="s">
        <v>8</v>
      </c>
      <c r="B6">
        <v>1285</v>
      </c>
      <c r="C6">
        <v>379</v>
      </c>
      <c r="D6">
        <v>150000</v>
      </c>
    </row>
    <row r="7" spans="1:4" x14ac:dyDescent="0.3">
      <c r="A7" t="s">
        <v>9</v>
      </c>
      <c r="B7">
        <v>1580</v>
      </c>
      <c r="C7">
        <v>338</v>
      </c>
      <c r="D7">
        <v>10000</v>
      </c>
    </row>
    <row r="8" spans="1:4" x14ac:dyDescent="0.3">
      <c r="A8" t="s">
        <v>10</v>
      </c>
      <c r="B8">
        <v>457</v>
      </c>
      <c r="C8">
        <v>187</v>
      </c>
      <c r="D8">
        <v>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tr">
        <f>Lead_Data!A2</f>
        <v>Website</v>
      </c>
      <c r="B2">
        <f>Lead_Data!C2/Lead_Data!B2</f>
        <v>0.34879571810883142</v>
      </c>
      <c r="C2">
        <f>Lead_Data!D2/Lead_Data!B2</f>
        <v>40.142729705619985</v>
      </c>
      <c r="D2">
        <f>Lead_Data!D2/Lead_Data!C2</f>
        <v>115.08951406649616</v>
      </c>
    </row>
    <row r="3" spans="1:5" x14ac:dyDescent="0.3">
      <c r="A3" t="str">
        <f>Lead_Data!A3</f>
        <v>Google Ads</v>
      </c>
      <c r="B3">
        <f>Lead_Data!C3/Lead_Data!B3</f>
        <v>0.12551867219917012</v>
      </c>
      <c r="C3">
        <f>Lead_Data!D3/Lead_Data!B3</f>
        <v>124.48132780082987</v>
      </c>
      <c r="D3">
        <f>Lead_Data!D3/Lead_Data!C3</f>
        <v>991.7355371900826</v>
      </c>
    </row>
    <row r="4" spans="1:5" x14ac:dyDescent="0.3">
      <c r="A4" t="str">
        <f>Lead_Data!A4</f>
        <v>LinkedIn Ads</v>
      </c>
      <c r="B4">
        <f>Lead_Data!C4/Lead_Data!B4</f>
        <v>0.32234432234432236</v>
      </c>
      <c r="C4">
        <f>Lead_Data!D4/Lead_Data!B4</f>
        <v>58.608058608058606</v>
      </c>
      <c r="D4">
        <f>Lead_Data!D4/Lead_Data!C4</f>
        <v>181.81818181818181</v>
      </c>
    </row>
    <row r="5" spans="1:5" x14ac:dyDescent="0.3">
      <c r="A5" t="str">
        <f>Lead_Data!A5</f>
        <v>Email Marketing</v>
      </c>
      <c r="B5">
        <f>Lead_Data!C5/Lead_Data!B5</f>
        <v>0.37328094302554027</v>
      </c>
      <c r="C5">
        <f>Lead_Data!D5/Lead_Data!B5</f>
        <v>19.646365422396858</v>
      </c>
      <c r="D5">
        <f>Lead_Data!D5/Lead_Data!C5</f>
        <v>52.631578947368418</v>
      </c>
    </row>
    <row r="6" spans="1:5" x14ac:dyDescent="0.3">
      <c r="A6" t="str">
        <f>Lead_Data!A6</f>
        <v>Events</v>
      </c>
      <c r="B6">
        <f>Lead_Data!C6/Lead_Data!B6</f>
        <v>0.29494163424124514</v>
      </c>
      <c r="C6">
        <f>Lead_Data!D6/Lead_Data!B6</f>
        <v>116.73151750972762</v>
      </c>
      <c r="D6">
        <f>Lead_Data!D6/Lead_Data!C6</f>
        <v>395.77836411609496</v>
      </c>
    </row>
    <row r="7" spans="1:5" x14ac:dyDescent="0.3">
      <c r="A7" t="str">
        <f>Lead_Data!A7</f>
        <v>Referrals</v>
      </c>
      <c r="B7">
        <f>Lead_Data!C7/Lead_Data!B7</f>
        <v>0.21392405063291139</v>
      </c>
      <c r="C7">
        <f>Lead_Data!D7/Lead_Data!B7</f>
        <v>6.3291139240506329</v>
      </c>
      <c r="D7">
        <f>Lead_Data!D7/Lead_Data!C7</f>
        <v>29.585798816568047</v>
      </c>
    </row>
    <row r="8" spans="1:5" x14ac:dyDescent="0.3">
      <c r="A8" t="str">
        <f>Lead_Data!A8</f>
        <v>Cold Calling</v>
      </c>
      <c r="B8">
        <f>Lead_Data!C8/Lead_Data!B8</f>
        <v>0.40919037199124725</v>
      </c>
      <c r="C8">
        <f>Lead_Data!D8/Lead_Data!B8</f>
        <v>131.2910284463895</v>
      </c>
      <c r="D8">
        <f>Lead_Data!D8/Lead_Data!C8</f>
        <v>320.85561497326205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tr">
        <f>Lead_Data!A2</f>
        <v>Website</v>
      </c>
      <c r="B2">
        <f>Lead_Data!B2</f>
        <v>1121</v>
      </c>
      <c r="C2">
        <f>KPI_Calculation!B2</f>
        <v>0.34879571810883142</v>
      </c>
      <c r="D2">
        <f>KPI_Calculation!C2</f>
        <v>40.142729705619985</v>
      </c>
    </row>
    <row r="3" spans="1:5" x14ac:dyDescent="0.3">
      <c r="A3" t="str">
        <f>Lead_Data!A3</f>
        <v>Google Ads</v>
      </c>
      <c r="B3">
        <f>Lead_Data!B3</f>
        <v>964</v>
      </c>
      <c r="C3">
        <f>KPI_Calculation!B3</f>
        <v>0.12551867219917012</v>
      </c>
      <c r="D3">
        <f>KPI_Calculation!C3</f>
        <v>124.48132780082987</v>
      </c>
    </row>
    <row r="4" spans="1:5" x14ac:dyDescent="0.3">
      <c r="A4" t="str">
        <f>Lead_Data!A4</f>
        <v>LinkedIn Ads</v>
      </c>
      <c r="B4">
        <f>Lead_Data!B4</f>
        <v>1365</v>
      </c>
      <c r="C4">
        <f>KPI_Calculation!B4</f>
        <v>0.32234432234432236</v>
      </c>
      <c r="D4">
        <f>KPI_Calculation!C4</f>
        <v>58.608058608058606</v>
      </c>
    </row>
    <row r="5" spans="1:5" x14ac:dyDescent="0.3">
      <c r="A5" t="str">
        <f>Lead_Data!A5</f>
        <v>Email Marketing</v>
      </c>
      <c r="B5">
        <f>Lead_Data!B5</f>
        <v>1527</v>
      </c>
      <c r="C5">
        <f>KPI_Calculation!B5</f>
        <v>0.37328094302554027</v>
      </c>
      <c r="D5">
        <f>KPI_Calculation!C5</f>
        <v>19.646365422396858</v>
      </c>
    </row>
    <row r="6" spans="1:5" x14ac:dyDescent="0.3">
      <c r="A6" t="str">
        <f>Lead_Data!A6</f>
        <v>Events</v>
      </c>
      <c r="B6">
        <f>Lead_Data!B6</f>
        <v>1285</v>
      </c>
      <c r="C6">
        <f>KPI_Calculation!B6</f>
        <v>0.29494163424124514</v>
      </c>
      <c r="D6">
        <f>KPI_Calculation!C6</f>
        <v>116.73151750972762</v>
      </c>
    </row>
    <row r="7" spans="1:5" x14ac:dyDescent="0.3">
      <c r="A7" t="str">
        <f>Lead_Data!A7</f>
        <v>Referrals</v>
      </c>
      <c r="B7">
        <f>Lead_Data!B7</f>
        <v>1580</v>
      </c>
      <c r="C7">
        <f>KPI_Calculation!B7</f>
        <v>0.21392405063291139</v>
      </c>
      <c r="D7">
        <f>KPI_Calculation!C7</f>
        <v>6.3291139240506329</v>
      </c>
    </row>
    <row r="8" spans="1:5" x14ac:dyDescent="0.3">
      <c r="A8" t="str">
        <f>Lead_Data!A8</f>
        <v>Cold Calling</v>
      </c>
      <c r="B8">
        <f>Lead_Data!B8</f>
        <v>457</v>
      </c>
      <c r="C8">
        <f>KPI_Calculation!B8</f>
        <v>0.40919037199124725</v>
      </c>
      <c r="D8">
        <f>KPI_Calculation!C8</f>
        <v>131.2910284463895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E1" sqref="E1:E1048576"/>
    </sheetView>
  </sheetViews>
  <sheetFormatPr defaultRowHeight="14.4" x14ac:dyDescent="0.3"/>
  <cols>
    <col min="1" max="4" width="30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t="str">
        <f>Lead_Data!A2</f>
        <v>Website</v>
      </c>
      <c r="B2">
        <f>KPI_Calculation!B2</f>
        <v>0.34879571810883142</v>
      </c>
      <c r="C2">
        <f>KPI_Calculation!C2</f>
        <v>40.142729705619985</v>
      </c>
      <c r="D2" t="s">
        <v>42</v>
      </c>
    </row>
    <row r="3" spans="1:4" x14ac:dyDescent="0.3">
      <c r="A3" t="str">
        <f>Lead_Data!A3</f>
        <v>Google Ads</v>
      </c>
      <c r="B3">
        <f>KPI_Calculation!B3</f>
        <v>0.12551867219917012</v>
      </c>
      <c r="C3">
        <f>KPI_Calculation!C3</f>
        <v>124.48132780082987</v>
      </c>
      <c r="D3" t="s">
        <v>43</v>
      </c>
    </row>
    <row r="4" spans="1:4" x14ac:dyDescent="0.3">
      <c r="A4" t="str">
        <f>Lead_Data!A4</f>
        <v>LinkedIn Ads</v>
      </c>
      <c r="B4">
        <f>KPI_Calculation!B4</f>
        <v>0.32234432234432236</v>
      </c>
      <c r="C4">
        <f>KPI_Calculation!C4</f>
        <v>58.608058608058606</v>
      </c>
      <c r="D4" t="s">
        <v>42</v>
      </c>
    </row>
    <row r="5" spans="1:4" x14ac:dyDescent="0.3">
      <c r="A5" t="str">
        <f>Lead_Data!A5</f>
        <v>Email Marketing</v>
      </c>
      <c r="B5">
        <f>KPI_Calculation!B5</f>
        <v>0.37328094302554027</v>
      </c>
      <c r="C5">
        <f>KPI_Calculation!C5</f>
        <v>19.646365422396858</v>
      </c>
      <c r="D5" t="s">
        <v>41</v>
      </c>
    </row>
    <row r="6" spans="1:4" x14ac:dyDescent="0.3">
      <c r="A6" t="str">
        <f>Lead_Data!A6</f>
        <v>Events</v>
      </c>
      <c r="B6">
        <f>KPI_Calculation!B6</f>
        <v>0.29494163424124514</v>
      </c>
      <c r="C6">
        <f>KPI_Calculation!C6</f>
        <v>116.73151750972762</v>
      </c>
      <c r="D6" t="s">
        <v>42</v>
      </c>
    </row>
    <row r="7" spans="1:4" x14ac:dyDescent="0.3">
      <c r="A7" t="str">
        <f>Lead_Data!A7</f>
        <v>Referrals</v>
      </c>
      <c r="B7">
        <f>KPI_Calculation!B7</f>
        <v>0.21392405063291139</v>
      </c>
      <c r="C7">
        <f>KPI_Calculation!C7</f>
        <v>6.3291139240506329</v>
      </c>
      <c r="D7" t="s">
        <v>41</v>
      </c>
    </row>
    <row r="8" spans="1:4" x14ac:dyDescent="0.3">
      <c r="A8" t="str">
        <f>Lead_Data!A8</f>
        <v>Cold Calling</v>
      </c>
      <c r="B8">
        <f>KPI_Calculation!B8</f>
        <v>0.40919037199124725</v>
      </c>
      <c r="C8">
        <f>KPI_Calculation!C8</f>
        <v>131.2910284463895</v>
      </c>
      <c r="D8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workbookViewId="0"/>
  </sheetViews>
  <sheetFormatPr defaultRowHeight="14.4" x14ac:dyDescent="0.3"/>
  <cols>
    <col min="1" max="2" width="30" customWidth="1"/>
    <col min="3" max="3" width="37.21875" customWidth="1"/>
    <col min="4" max="4" width="30" customWidth="1"/>
  </cols>
  <sheetData>
    <row r="1" spans="1:4" x14ac:dyDescent="0.3">
      <c r="A1" s="1" t="s">
        <v>0</v>
      </c>
      <c r="B1" s="1" t="s">
        <v>22</v>
      </c>
      <c r="C1" s="1" t="s">
        <v>23</v>
      </c>
      <c r="D1" s="1" t="s">
        <v>24</v>
      </c>
    </row>
    <row r="2" spans="1:4" x14ac:dyDescent="0.3">
      <c r="A2" t="s">
        <v>5</v>
      </c>
      <c r="B2" t="s">
        <v>25</v>
      </c>
      <c r="C2" t="s">
        <v>26</v>
      </c>
      <c r="D2" t="s">
        <v>27</v>
      </c>
    </row>
    <row r="3" spans="1:4" x14ac:dyDescent="0.3">
      <c r="A3" t="s">
        <v>8</v>
      </c>
      <c r="B3" t="s">
        <v>28</v>
      </c>
      <c r="C3" t="s">
        <v>29</v>
      </c>
      <c r="D3" t="s">
        <v>30</v>
      </c>
    </row>
    <row r="4" spans="1:4" x14ac:dyDescent="0.3">
      <c r="A4" t="s">
        <v>9</v>
      </c>
      <c r="B4" t="s">
        <v>31</v>
      </c>
      <c r="C4" t="s">
        <v>32</v>
      </c>
      <c r="D4" t="s">
        <v>33</v>
      </c>
    </row>
    <row r="5" spans="1:4" x14ac:dyDescent="0.3">
      <c r="A5" t="s">
        <v>7</v>
      </c>
      <c r="B5" t="s">
        <v>34</v>
      </c>
      <c r="C5" t="s">
        <v>35</v>
      </c>
      <c r="D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 Data</vt:lpstr>
      <vt:lpstr>Lead_Data</vt:lpstr>
      <vt:lpstr>KPI_Calculation</vt:lpstr>
      <vt:lpstr>Lead_Source_Map</vt:lpstr>
      <vt:lpstr>Prioritization_Matrix</vt:lpstr>
      <vt:lpstr>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Singh</cp:lastModifiedBy>
  <dcterms:created xsi:type="dcterms:W3CDTF">2026-01-17T18:01:05Z</dcterms:created>
  <dcterms:modified xsi:type="dcterms:W3CDTF">2026-01-17T18:23:30Z</dcterms:modified>
</cp:coreProperties>
</file>